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8C00FD8-31E2-4475-ABB2-1099C8AF822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עסקאות נדל&quot;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" i="1" l="1"/>
  <c r="AE21" i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  <c r="AF4" i="1"/>
  <c r="AE4" i="1"/>
</calcChain>
</file>

<file path=xl/sharedStrings.xml><?xml version="1.0" encoding="utf-8"?>
<sst xmlns="http://schemas.openxmlformats.org/spreadsheetml/2006/main" count="148" uniqueCount="57">
  <si>
    <t>מידע עסקאות נדל״ן ישוב חצור הגלילית.  מתאריך מכירה: 09/07/2024, משנת בנייה: 2022</t>
  </si>
  <si>
    <t xml:space="preserve">תאריך </t>
  </si>
  <si>
    <t>מיקום</t>
  </si>
  <si>
    <t>מאפייני הנכס</t>
  </si>
  <si>
    <t>מאפייני המבנה</t>
  </si>
  <si>
    <t>העסקה</t>
  </si>
  <si>
    <t>תחשיב</t>
  </si>
  <si>
    <t>יום מכירה</t>
  </si>
  <si>
    <t>כתובת</t>
  </si>
  <si>
    <t>דירה</t>
  </si>
  <si>
    <t>ישוב</t>
  </si>
  <si>
    <t>גוש</t>
  </si>
  <si>
    <t>חלקה</t>
  </si>
  <si>
    <t>תת חלקה</t>
  </si>
  <si>
    <t>סוג נכס</t>
  </si>
  <si>
    <t>מהות</t>
  </si>
  <si>
    <t>תפקוד יחידה</t>
  </si>
  <si>
    <t>חדרים</t>
  </si>
  <si>
    <t>קומה</t>
  </si>
  <si>
    <t>שטח ברוטו</t>
  </si>
  <si>
    <t>שטח נטו</t>
  </si>
  <si>
    <t>גג</t>
  </si>
  <si>
    <t>מחסן</t>
  </si>
  <si>
    <t>חצר</t>
  </si>
  <si>
    <t>מספר קומות</t>
  </si>
  <si>
    <t>דירות בבנין</t>
  </si>
  <si>
    <t>שנת בניה</t>
  </si>
  <si>
    <t>תפקוד בנין</t>
  </si>
  <si>
    <t>שווי מכירה בש"ח</t>
  </si>
  <si>
    <t>חלק נמכר</t>
  </si>
  <si>
    <t>מחיר למ"ר ברוטו</t>
  </si>
  <si>
    <t>מחיר למ"ר נטו</t>
  </si>
  <si>
    <t>מחיר מוצהר</t>
  </si>
  <si>
    <t>מקדם זמן</t>
  </si>
  <si>
    <t>מקדם קומה</t>
  </si>
  <si>
    <t>מקדם שוליות</t>
  </si>
  <si>
    <t>מקדם מצב פיזי</t>
  </si>
  <si>
    <t>שווי מתואם למ"ר ברוטו</t>
  </si>
  <si>
    <t>שווי מתואם למ"ר נטו</t>
  </si>
  <si>
    <t>התאנה 29</t>
  </si>
  <si>
    <t>חצור הגלילית</t>
  </si>
  <si>
    <t>דירת מגורים</t>
  </si>
  <si>
    <t>דירה בבית קומות</t>
  </si>
  <si>
    <t>מגורים</t>
  </si>
  <si>
    <t>ללא רחוב 2</t>
  </si>
  <si>
    <t>הזית 3</t>
  </si>
  <si>
    <t>הזית 1</t>
  </si>
  <si>
    <t>הזית 4</t>
  </si>
  <si>
    <t>התפוח 16</t>
  </si>
  <si>
    <t>קוטג' דו משפחתי</t>
  </si>
  <si>
    <t>קוטג' דו-משפחתי</t>
  </si>
  <si>
    <t>חצור א 1</t>
  </si>
  <si>
    <t>חצור א 3</t>
  </si>
  <si>
    <t>חצור הגליל - ללא רחו 1</t>
  </si>
  <si>
    <t>דירת גן</t>
  </si>
  <si>
    <t>חצור הגליל - ללא רחו 7</t>
  </si>
  <si>
    <t>הופק ע״י מערכת Quicker שמאות מקצועית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</si>
</sst>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₪&quot;\ #,##0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8"/>
      <color theme="1"/>
      <name val="David"/>
      <family val="2"/>
    </font>
    <font>
      <sz val="12"/>
      <name val="David"/>
      <family val="2"/>
    </font>
    <font>
      <b/>
      <sz val="14"/>
      <name val="David"/>
      <family val="2"/>
    </font>
    <font>
      <b/>
      <sz val="14"/>
      <color theme="1"/>
      <name val="David"/>
      <family val="2"/>
    </font>
    <font>
      <sz val="12"/>
      <color theme="1"/>
      <name val="Arial"/>
      <family val="2"/>
      <scheme val="minor"/>
    </font>
    <font>
      <sz val="12"/>
      <color theme="1"/>
      <name val="David"/>
      <family val="2"/>
      <charset val="177"/>
    </font>
    <font>
      <sz val="14"/>
      <name val="David"/>
      <family val="2"/>
      <charset val="177"/>
    </font>
    <font>
      <sz val="14"/>
      <color theme="1"/>
      <name val="David"/>
      <family val="2"/>
      <charset val="177"/>
    </font>
    <font>
      <sz val="12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2CB31"/>
        <bgColor indexed="64"/>
      </patternFill>
    </fill>
    <fill>
      <patternFill patternType="solid">
        <fgColor rgb="FFD8ECD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" fontId="2" fillId="3" borderId="15" xfId="0" applyNumberFormat="1" applyFont="1" applyFill="1" applyBorder="1" applyAlignment="1">
      <alignment horizontal="center" vertical="center"/>
    </xf>
    <xf numFmtId="4" fontId="2" fillId="3" borderId="16" xfId="0" applyNumberFormat="1" applyFont="1" applyFill="1" applyBorder="1" applyAlignment="1">
      <alignment horizontal="center" vertical="center"/>
    </xf>
    <xf numFmtId="3" fontId="2" fillId="3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/>
    </xf>
    <xf numFmtId="166" fontId="10" fillId="3" borderId="7" xfId="0" applyNumberFormat="1" applyFont="1" applyFill="1" applyBorder="1" applyAlignment="1">
      <alignment horizontal="center" vertical="center" wrapText="1"/>
    </xf>
    <xf numFmtId="166" fontId="8" fillId="0" borderId="15" xfId="0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5">
    <dxf>
      <font>
        <sz val="12"/>
        <name val="David"/>
        <family val="2"/>
        <charset val="177"/>
        <scheme val="none"/>
      </font>
      <numFmt numFmtId="166" formatCode="&quot;₪&quot;\ 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2"/>
        <name val="David"/>
        <family val="2"/>
        <charset val="177"/>
        <scheme val="none"/>
      </font>
      <numFmt numFmtId="166" formatCode="&quot;₪&quot;\ 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2"/>
        <name val="David"/>
        <family val="2"/>
        <charset val="177"/>
        <scheme val="none"/>
      </font>
      <numFmt numFmtId="166" formatCode="&quot;₪&quot;\ 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charset val="177"/>
      </font>
      <numFmt numFmtId="166" formatCode="&quot;₪&quot;\ #,##0"/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alignment horizontal="center" vertical="center" textRotation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3:AF21" headerRowDxfId="8" dataDxfId="6" totalsRowDxfId="7">
  <autoFilter ref="A3:AF21" xr:uid="{00000000-0009-0000-0100-000001000000}"/>
  <tableColumns count="32">
    <tableColumn id="1" xr3:uid="{00000000-0010-0000-0000-000001000000}" name="יום מכירה" dataDxfId="34"/>
    <tableColumn id="2" xr3:uid="{00000000-0010-0000-0000-000002000000}" name="כתובת" dataDxfId="33"/>
    <tableColumn id="4" xr3:uid="{00000000-0010-0000-0000-000004000000}" name="דירה" dataDxfId="32"/>
    <tableColumn id="6" xr3:uid="{00000000-0010-0000-0000-000006000000}" name="ישוב" dataDxfId="31"/>
    <tableColumn id="7" xr3:uid="{00000000-0010-0000-0000-000007000000}" name="גוש" dataDxfId="30"/>
    <tableColumn id="8" xr3:uid="{00000000-0010-0000-0000-000008000000}" name="חלקה" dataDxfId="29"/>
    <tableColumn id="9" xr3:uid="{00000000-0010-0000-0000-000009000000}" name="תת חלקה" dataDxfId="28"/>
    <tableColumn id="11" xr3:uid="{00000000-0010-0000-0000-00000B000000}" name="סוג נכס" dataDxfId="27"/>
    <tableColumn id="12" xr3:uid="{00000000-0010-0000-0000-00000C000000}" name="מהות" dataDxfId="26"/>
    <tableColumn id="13" xr3:uid="{00000000-0010-0000-0000-00000D000000}" name="תפקוד יחידה" dataDxfId="25"/>
    <tableColumn id="14" xr3:uid="{00000000-0010-0000-0000-00000E000000}" name="חדרים" dataDxfId="24"/>
    <tableColumn id="15" xr3:uid="{00000000-0010-0000-0000-00000F000000}" name="קומה" dataDxfId="23"/>
    <tableColumn id="16" xr3:uid="{00000000-0010-0000-0000-000010000000}" name="שטח ברוטו" dataDxfId="22"/>
    <tableColumn id="17" xr3:uid="{00000000-0010-0000-0000-000011000000}" name="שטח נטו" dataDxfId="21"/>
    <tableColumn id="20" xr3:uid="{00000000-0010-0000-0000-000014000000}" name="גג" dataDxfId="20"/>
    <tableColumn id="21" xr3:uid="{00000000-0010-0000-0000-000015000000}" name="מחסן" dataDxfId="19"/>
    <tableColumn id="22" xr3:uid="{00000000-0010-0000-0000-000016000000}" name="חצר" dataDxfId="18"/>
    <tableColumn id="25" xr3:uid="{00000000-0010-0000-0000-000019000000}" name="מספר קומות" dataDxfId="17"/>
    <tableColumn id="26" xr3:uid="{00000000-0010-0000-0000-00001A000000}" name="דירות בבנין" dataDxfId="16"/>
    <tableColumn id="28" xr3:uid="{00000000-0010-0000-0000-00001C000000}" name="שנת בניה" dataDxfId="15"/>
    <tableColumn id="30" xr3:uid="{00000000-0010-0000-0000-00001E000000}" name="תפקוד בנין" dataDxfId="5"/>
    <tableColumn id="31" xr3:uid="{00000000-0010-0000-0000-00001F000000}" name="שווי מכירה בש&quot;ח" dataDxfId="3"/>
    <tableColumn id="32" xr3:uid="{00000000-0010-0000-0000-000020000000}" name="חלק נמכר" dataDxfId="4"/>
    <tableColumn id="33" xr3:uid="{00000000-0010-0000-0000-000021000000}" name="מחיר למ&quot;ר ברוטו" dataDxfId="2"/>
    <tableColumn id="34" xr3:uid="{00000000-0010-0000-0000-000022000000}" name="מחיר למ&quot;ר נטו" dataDxfId="1"/>
    <tableColumn id="35" xr3:uid="{00000000-0010-0000-0000-000023000000}" name="מחיר מוצהר" dataDxfId="0"/>
    <tableColumn id="36" xr3:uid="{00000000-0010-0000-0000-000024000000}" name="מקדם זמן" dataDxfId="14"/>
    <tableColumn id="37" xr3:uid="{00000000-0010-0000-0000-000025000000}" name="מקדם קומה" dataDxfId="13"/>
    <tableColumn id="38" xr3:uid="{00000000-0010-0000-0000-000026000000}" name="מקדם שוליות" dataDxfId="12"/>
    <tableColumn id="39" xr3:uid="{00000000-0010-0000-0000-000027000000}" name="מקדם מצב פיזי" dataDxfId="11"/>
    <tableColumn id="40" xr3:uid="{00000000-0010-0000-0000-000028000000}" name="שווי מתואם למ&quot;ר ברוטו" dataDxfId="10"/>
    <tableColumn id="41" xr3:uid="{00000000-0010-0000-0000-000029000000}" name="שווי מתואם למ&quot;ר נטו" dataDxfId="9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1"/>
  <sheetViews>
    <sheetView rightToLeft="1" tabSelected="1" topLeftCell="G1" zoomScale="130" zoomScaleNormal="130" workbookViewId="0">
      <selection activeCell="AG1" sqref="AG1:AW1048576"/>
    </sheetView>
  </sheetViews>
  <sheetFormatPr defaultColWidth="8.875" defaultRowHeight="15.95" customHeight="1" x14ac:dyDescent="0.2"/>
  <cols>
    <col min="1" max="1" width="11.375" style="11" customWidth="1"/>
    <col min="2" max="2" width="12" style="11" customWidth="1"/>
    <col min="3" max="3" width="9.375" style="11" customWidth="1"/>
    <col min="4" max="4" width="15.375" style="11" customWidth="1"/>
    <col min="5" max="7" width="7.875" style="11" customWidth="1"/>
    <col min="8" max="8" width="11.75" style="11" bestFit="1" customWidth="1"/>
    <col min="9" max="10" width="14.125" style="11" bestFit="1" customWidth="1"/>
    <col min="11" max="11" width="20" style="11" customWidth="1"/>
    <col min="12" max="12" width="9.625" style="11" bestFit="1" customWidth="1"/>
    <col min="13" max="13" width="9.875" style="11" bestFit="1" customWidth="1"/>
    <col min="14" max="14" width="9.375" style="11" bestFit="1" customWidth="1"/>
    <col min="15" max="15" width="8.125" style="11" customWidth="1"/>
    <col min="16" max="16" width="8.875" style="11" customWidth="1"/>
    <col min="17" max="17" width="8.125" style="11" customWidth="1"/>
    <col min="18" max="18" width="14.375" style="11" bestFit="1" customWidth="1"/>
    <col min="19" max="19" width="14.75" style="11" bestFit="1" customWidth="1"/>
    <col min="20" max="20" width="7" style="11" customWidth="1"/>
    <col min="21" max="21" width="14.25" style="12" bestFit="1" customWidth="1"/>
    <col min="22" max="22" width="15.25" style="36" bestFit="1" customWidth="1"/>
    <col min="23" max="23" width="7.875" style="12" customWidth="1"/>
    <col min="24" max="26" width="15.25" style="36" bestFit="1" customWidth="1"/>
    <col min="27" max="27" width="13.375" style="12" customWidth="1"/>
    <col min="28" max="28" width="12.875" style="11" customWidth="1"/>
    <col min="29" max="29" width="14.375" style="11" customWidth="1"/>
    <col min="30" max="31" width="12.375" style="11" customWidth="1"/>
    <col min="32" max="32" width="10.125" style="11" customWidth="1"/>
    <col min="33" max="16384" width="8.875" style="11"/>
  </cols>
  <sheetData>
    <row r="1" spans="1:32" ht="24" customHeight="1" thickBot="1" x14ac:dyDescent="0.25">
      <c r="A1" s="10" t="s">
        <v>0</v>
      </c>
      <c r="U1" s="11"/>
      <c r="V1" s="31"/>
      <c r="W1" s="11"/>
      <c r="X1" s="31"/>
      <c r="Y1" s="31"/>
      <c r="Z1" s="31"/>
    </row>
    <row r="2" spans="1:32" s="18" customFormat="1" ht="18.95" customHeight="1" thickBot="1" x14ac:dyDescent="0.25">
      <c r="A2" s="13" t="s">
        <v>1</v>
      </c>
      <c r="B2" s="14" t="s">
        <v>2</v>
      </c>
      <c r="C2" s="15"/>
      <c r="D2" s="15"/>
      <c r="E2" s="15"/>
      <c r="F2" s="15"/>
      <c r="G2" s="15"/>
      <c r="H2" s="16" t="s">
        <v>3</v>
      </c>
      <c r="I2" s="16"/>
      <c r="J2" s="16"/>
      <c r="K2" s="16"/>
      <c r="L2" s="15"/>
      <c r="M2" s="15"/>
      <c r="N2" s="15"/>
      <c r="O2" s="17"/>
      <c r="P2" s="15"/>
      <c r="Q2" s="15"/>
      <c r="R2" s="14" t="s">
        <v>4</v>
      </c>
      <c r="S2" s="15"/>
      <c r="T2" s="15"/>
      <c r="U2" s="17"/>
      <c r="V2" s="32" t="s">
        <v>5</v>
      </c>
      <c r="W2" s="15"/>
      <c r="X2" s="32"/>
      <c r="Y2" s="32"/>
      <c r="Z2" s="32"/>
      <c r="AA2" s="14" t="s">
        <v>6</v>
      </c>
      <c r="AB2" s="15"/>
      <c r="AC2" s="15"/>
      <c r="AD2" s="15"/>
      <c r="AE2" s="15"/>
      <c r="AF2" s="15"/>
    </row>
    <row r="3" spans="1:32" s="1" customFormat="1" ht="41.85" customHeight="1" x14ac:dyDescent="0.2">
      <c r="A3" s="2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5" t="s">
        <v>12</v>
      </c>
      <c r="G3" s="5" t="s">
        <v>13</v>
      </c>
      <c r="H3" s="5" t="s">
        <v>14</v>
      </c>
      <c r="I3" s="6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7" t="s">
        <v>20</v>
      </c>
      <c r="O3" s="4" t="s">
        <v>21</v>
      </c>
      <c r="P3" s="4" t="s">
        <v>22</v>
      </c>
      <c r="Q3" s="4" t="s">
        <v>23</v>
      </c>
      <c r="R3" s="3" t="s">
        <v>24</v>
      </c>
      <c r="S3" s="4" t="s">
        <v>25</v>
      </c>
      <c r="T3" s="4" t="s">
        <v>26</v>
      </c>
      <c r="U3" s="8" t="s">
        <v>27</v>
      </c>
      <c r="V3" s="33" t="s">
        <v>28</v>
      </c>
      <c r="W3" s="4" t="s">
        <v>29</v>
      </c>
      <c r="X3" s="33" t="s">
        <v>30</v>
      </c>
      <c r="Y3" s="33" t="s">
        <v>31</v>
      </c>
      <c r="Z3" s="33" t="s">
        <v>32</v>
      </c>
      <c r="AA3" s="9" t="s">
        <v>33</v>
      </c>
      <c r="AB3" s="4" t="s">
        <v>34</v>
      </c>
      <c r="AC3" s="4" t="s">
        <v>35</v>
      </c>
      <c r="AD3" s="4" t="s">
        <v>36</v>
      </c>
      <c r="AE3" s="7" t="s">
        <v>37</v>
      </c>
      <c r="AF3" s="7" t="s">
        <v>38</v>
      </c>
    </row>
    <row r="4" spans="1:32" ht="15.75" x14ac:dyDescent="0.2">
      <c r="A4" s="19">
        <v>46072</v>
      </c>
      <c r="B4" s="20" t="s">
        <v>39</v>
      </c>
      <c r="C4" s="21">
        <v>1</v>
      </c>
      <c r="D4" s="22" t="s">
        <v>40</v>
      </c>
      <c r="E4" s="23">
        <v>14051</v>
      </c>
      <c r="F4" s="24">
        <v>91</v>
      </c>
      <c r="G4" s="24">
        <v>0</v>
      </c>
      <c r="H4" s="25" t="s">
        <v>41</v>
      </c>
      <c r="I4" s="26" t="s">
        <v>42</v>
      </c>
      <c r="J4" s="22" t="s">
        <v>42</v>
      </c>
      <c r="K4" s="22">
        <v>4</v>
      </c>
      <c r="L4" s="22">
        <v>2</v>
      </c>
      <c r="M4" s="22">
        <v>135</v>
      </c>
      <c r="N4" s="22">
        <v>135</v>
      </c>
      <c r="O4" s="22">
        <v>100</v>
      </c>
      <c r="P4" s="22">
        <v>0</v>
      </c>
      <c r="Q4" s="22">
        <v>0</v>
      </c>
      <c r="R4" s="26">
        <v>2</v>
      </c>
      <c r="S4" s="22">
        <v>5</v>
      </c>
      <c r="T4" s="22">
        <v>2024</v>
      </c>
      <c r="U4" s="24" t="s">
        <v>43</v>
      </c>
      <c r="V4" s="34">
        <v>2525000</v>
      </c>
      <c r="W4" s="22">
        <v>1</v>
      </c>
      <c r="X4" s="34">
        <v>18704</v>
      </c>
      <c r="Y4" s="34">
        <v>18704</v>
      </c>
      <c r="Z4" s="34">
        <v>2525000</v>
      </c>
      <c r="AA4" s="27">
        <v>1</v>
      </c>
      <c r="AB4" s="28">
        <v>1</v>
      </c>
      <c r="AC4" s="28">
        <v>1</v>
      </c>
      <c r="AD4" s="28">
        <v>1</v>
      </c>
      <c r="AE4" s="29">
        <f t="shared" ref="AE4:AE21" si="0">(X4 * AA4 * AB4 * AC4 * AD4)</f>
        <v>18704</v>
      </c>
      <c r="AF4" s="29">
        <f t="shared" ref="AF4:AF21" si="1">(Y4 * AA4 * AB4 * AC4 * AD4)</f>
        <v>18704</v>
      </c>
    </row>
    <row r="5" spans="1:32" ht="15.75" x14ac:dyDescent="0.2">
      <c r="A5" s="19">
        <v>46051</v>
      </c>
      <c r="B5" s="20" t="s">
        <v>44</v>
      </c>
      <c r="C5" s="21">
        <v>9</v>
      </c>
      <c r="D5" s="22" t="s">
        <v>40</v>
      </c>
      <c r="E5" s="23">
        <v>14052</v>
      </c>
      <c r="F5" s="24">
        <v>60</v>
      </c>
      <c r="G5" s="24">
        <v>9</v>
      </c>
      <c r="H5" s="25" t="s">
        <v>41</v>
      </c>
      <c r="I5" s="26" t="s">
        <v>42</v>
      </c>
      <c r="J5" s="22" t="s">
        <v>42</v>
      </c>
      <c r="K5" s="22">
        <v>6</v>
      </c>
      <c r="L5" s="22">
        <v>3</v>
      </c>
      <c r="M5" s="22">
        <v>278</v>
      </c>
      <c r="N5" s="22">
        <v>166</v>
      </c>
      <c r="O5" s="22">
        <v>0</v>
      </c>
      <c r="P5" s="22">
        <v>0</v>
      </c>
      <c r="Q5" s="22">
        <v>0</v>
      </c>
      <c r="R5" s="26">
        <v>5</v>
      </c>
      <c r="S5" s="22">
        <v>10</v>
      </c>
      <c r="T5" s="22">
        <v>2024</v>
      </c>
      <c r="U5" s="24" t="s">
        <v>43</v>
      </c>
      <c r="V5" s="34">
        <v>2406808</v>
      </c>
      <c r="W5" s="22">
        <v>1</v>
      </c>
      <c r="X5" s="34">
        <v>8658</v>
      </c>
      <c r="Y5" s="34">
        <v>14499</v>
      </c>
      <c r="Z5" s="34">
        <v>2406808</v>
      </c>
      <c r="AA5" s="27">
        <v>1</v>
      </c>
      <c r="AB5" s="28">
        <v>1</v>
      </c>
      <c r="AC5" s="28">
        <v>1</v>
      </c>
      <c r="AD5" s="28">
        <v>1</v>
      </c>
      <c r="AE5" s="29">
        <f t="shared" si="0"/>
        <v>8658</v>
      </c>
      <c r="AF5" s="29">
        <f t="shared" si="1"/>
        <v>14499</v>
      </c>
    </row>
    <row r="6" spans="1:32" ht="15.75" x14ac:dyDescent="0.2">
      <c r="A6" s="19">
        <v>45915</v>
      </c>
      <c r="B6" s="20" t="s">
        <v>45</v>
      </c>
      <c r="C6" s="21">
        <v>7</v>
      </c>
      <c r="D6" s="22" t="s">
        <v>40</v>
      </c>
      <c r="E6" s="23">
        <v>14052</v>
      </c>
      <c r="F6" s="24">
        <v>60</v>
      </c>
      <c r="G6" s="24">
        <v>7</v>
      </c>
      <c r="H6" s="25" t="s">
        <v>41</v>
      </c>
      <c r="I6" s="26" t="s">
        <v>42</v>
      </c>
      <c r="J6" s="22" t="s">
        <v>42</v>
      </c>
      <c r="K6" s="22">
        <v>5</v>
      </c>
      <c r="L6" s="22">
        <v>0</v>
      </c>
      <c r="M6" s="22">
        <v>511</v>
      </c>
      <c r="N6" s="22">
        <v>121</v>
      </c>
      <c r="O6" s="22">
        <v>0</v>
      </c>
      <c r="P6" s="22">
        <v>0</v>
      </c>
      <c r="Q6" s="22">
        <v>390</v>
      </c>
      <c r="R6" s="26">
        <v>4</v>
      </c>
      <c r="S6" s="22">
        <v>10</v>
      </c>
      <c r="T6" s="22">
        <v>2024</v>
      </c>
      <c r="U6" s="24" t="s">
        <v>43</v>
      </c>
      <c r="V6" s="34">
        <v>2316808</v>
      </c>
      <c r="W6" s="22">
        <v>1</v>
      </c>
      <c r="X6" s="34">
        <v>4534</v>
      </c>
      <c r="Y6" s="34">
        <v>19147</v>
      </c>
      <c r="Z6" s="34">
        <v>2316808</v>
      </c>
      <c r="AA6" s="27">
        <v>1</v>
      </c>
      <c r="AB6" s="28">
        <v>1</v>
      </c>
      <c r="AC6" s="28">
        <v>1</v>
      </c>
      <c r="AD6" s="28">
        <v>1</v>
      </c>
      <c r="AE6" s="29">
        <f t="shared" si="0"/>
        <v>4534</v>
      </c>
      <c r="AF6" s="29">
        <f t="shared" si="1"/>
        <v>19147</v>
      </c>
    </row>
    <row r="7" spans="1:32" ht="15.75" x14ac:dyDescent="0.2">
      <c r="A7" s="19">
        <v>45862</v>
      </c>
      <c r="B7" s="20" t="s">
        <v>46</v>
      </c>
      <c r="C7" s="21">
        <v>8</v>
      </c>
      <c r="D7" s="22" t="s">
        <v>40</v>
      </c>
      <c r="E7" s="23">
        <v>14052</v>
      </c>
      <c r="F7" s="24">
        <v>60</v>
      </c>
      <c r="G7" s="24">
        <v>8</v>
      </c>
      <c r="H7" s="25" t="s">
        <v>41</v>
      </c>
      <c r="I7" s="26" t="s">
        <v>42</v>
      </c>
      <c r="J7" s="22" t="s">
        <v>42</v>
      </c>
      <c r="K7" s="22">
        <v>5</v>
      </c>
      <c r="L7" s="22">
        <v>0</v>
      </c>
      <c r="M7" s="22">
        <v>411</v>
      </c>
      <c r="N7" s="22">
        <v>131</v>
      </c>
      <c r="O7" s="22">
        <v>0</v>
      </c>
      <c r="P7" s="22">
        <v>0</v>
      </c>
      <c r="Q7" s="22">
        <v>280</v>
      </c>
      <c r="R7" s="26">
        <v>3</v>
      </c>
      <c r="S7" s="22">
        <v>10</v>
      </c>
      <c r="T7" s="22">
        <v>2027</v>
      </c>
      <c r="U7" s="24" t="s">
        <v>43</v>
      </c>
      <c r="V7" s="34">
        <v>2236808</v>
      </c>
      <c r="W7" s="22">
        <v>1</v>
      </c>
      <c r="X7" s="34">
        <v>5442</v>
      </c>
      <c r="Y7" s="34">
        <v>17075</v>
      </c>
      <c r="Z7" s="34">
        <v>2236808</v>
      </c>
      <c r="AA7" s="27">
        <v>1</v>
      </c>
      <c r="AB7" s="28">
        <v>1</v>
      </c>
      <c r="AC7" s="28">
        <v>1</v>
      </c>
      <c r="AD7" s="28">
        <v>1</v>
      </c>
      <c r="AE7" s="29">
        <f t="shared" si="0"/>
        <v>5442</v>
      </c>
      <c r="AF7" s="29">
        <f t="shared" si="1"/>
        <v>17075</v>
      </c>
    </row>
    <row r="8" spans="1:32" ht="15.75" x14ac:dyDescent="0.2">
      <c r="A8" s="19">
        <v>45859</v>
      </c>
      <c r="B8" s="20" t="s">
        <v>46</v>
      </c>
      <c r="C8" s="21">
        <v>2</v>
      </c>
      <c r="D8" s="22" t="s">
        <v>40</v>
      </c>
      <c r="E8" s="23">
        <v>14052</v>
      </c>
      <c r="F8" s="24">
        <v>60</v>
      </c>
      <c r="G8" s="24">
        <v>2</v>
      </c>
      <c r="H8" s="25" t="s">
        <v>41</v>
      </c>
      <c r="I8" s="26" t="s">
        <v>42</v>
      </c>
      <c r="J8" s="22" t="s">
        <v>42</v>
      </c>
      <c r="K8" s="22">
        <v>5</v>
      </c>
      <c r="L8" s="22">
        <v>0</v>
      </c>
      <c r="M8" s="22">
        <v>352</v>
      </c>
      <c r="N8" s="22">
        <v>119</v>
      </c>
      <c r="O8" s="22">
        <v>0</v>
      </c>
      <c r="P8" s="22">
        <v>0</v>
      </c>
      <c r="Q8" s="22">
        <v>233</v>
      </c>
      <c r="R8" s="26">
        <v>3</v>
      </c>
      <c r="S8" s="22">
        <v>10</v>
      </c>
      <c r="T8" s="22">
        <v>2027</v>
      </c>
      <c r="U8" s="24" t="s">
        <v>43</v>
      </c>
      <c r="V8" s="34">
        <v>2146808</v>
      </c>
      <c r="W8" s="22">
        <v>1</v>
      </c>
      <c r="X8" s="34">
        <v>6099</v>
      </c>
      <c r="Y8" s="34">
        <v>18040</v>
      </c>
      <c r="Z8" s="34">
        <v>2146808</v>
      </c>
      <c r="AA8" s="27">
        <v>1</v>
      </c>
      <c r="AB8" s="28">
        <v>1</v>
      </c>
      <c r="AC8" s="28">
        <v>1</v>
      </c>
      <c r="AD8" s="28">
        <v>1</v>
      </c>
      <c r="AE8" s="29">
        <f t="shared" si="0"/>
        <v>6099</v>
      </c>
      <c r="AF8" s="29">
        <f t="shared" si="1"/>
        <v>18040</v>
      </c>
    </row>
    <row r="9" spans="1:32" ht="15.75" x14ac:dyDescent="0.2">
      <c r="A9" s="19">
        <v>45838</v>
      </c>
      <c r="B9" s="20" t="s">
        <v>46</v>
      </c>
      <c r="C9" s="21">
        <v>7</v>
      </c>
      <c r="D9" s="22" t="s">
        <v>40</v>
      </c>
      <c r="E9" s="23">
        <v>14052</v>
      </c>
      <c r="F9" s="24">
        <v>60</v>
      </c>
      <c r="G9" s="24">
        <v>7</v>
      </c>
      <c r="H9" s="25" t="s">
        <v>41</v>
      </c>
      <c r="I9" s="26" t="s">
        <v>42</v>
      </c>
      <c r="J9" s="22" t="s">
        <v>42</v>
      </c>
      <c r="K9" s="22">
        <v>5</v>
      </c>
      <c r="L9" s="22">
        <v>0</v>
      </c>
      <c r="M9" s="22">
        <v>363</v>
      </c>
      <c r="N9" s="22">
        <v>121</v>
      </c>
      <c r="O9" s="22">
        <v>0</v>
      </c>
      <c r="P9" s="22">
        <v>0</v>
      </c>
      <c r="Q9" s="22">
        <v>242</v>
      </c>
      <c r="R9" s="26">
        <v>3</v>
      </c>
      <c r="S9" s="22">
        <v>10</v>
      </c>
      <c r="T9" s="22">
        <v>2027</v>
      </c>
      <c r="U9" s="24" t="s">
        <v>43</v>
      </c>
      <c r="V9" s="34">
        <v>2156808</v>
      </c>
      <c r="W9" s="22">
        <v>1</v>
      </c>
      <c r="X9" s="34">
        <v>5942</v>
      </c>
      <c r="Y9" s="34">
        <v>17825</v>
      </c>
      <c r="Z9" s="34">
        <v>2156808</v>
      </c>
      <c r="AA9" s="27">
        <v>1</v>
      </c>
      <c r="AB9" s="28">
        <v>1</v>
      </c>
      <c r="AC9" s="28">
        <v>1</v>
      </c>
      <c r="AD9" s="28">
        <v>1</v>
      </c>
      <c r="AE9" s="29">
        <f t="shared" si="0"/>
        <v>5942</v>
      </c>
      <c r="AF9" s="29">
        <f t="shared" si="1"/>
        <v>17825</v>
      </c>
    </row>
    <row r="10" spans="1:32" ht="15.75" x14ac:dyDescent="0.2">
      <c r="A10" s="19">
        <v>45790</v>
      </c>
      <c r="B10" s="20" t="s">
        <v>46</v>
      </c>
      <c r="C10" s="21">
        <v>1</v>
      </c>
      <c r="D10" s="22" t="s">
        <v>40</v>
      </c>
      <c r="E10" s="23">
        <v>14051</v>
      </c>
      <c r="F10" s="24">
        <v>131</v>
      </c>
      <c r="G10" s="24">
        <v>3</v>
      </c>
      <c r="H10" s="25" t="s">
        <v>41</v>
      </c>
      <c r="I10" s="26" t="s">
        <v>42</v>
      </c>
      <c r="J10" s="22" t="s">
        <v>42</v>
      </c>
      <c r="K10" s="22">
        <v>6</v>
      </c>
      <c r="L10" s="22">
        <v>0</v>
      </c>
      <c r="M10" s="22">
        <v>325</v>
      </c>
      <c r="N10" s="22">
        <v>167</v>
      </c>
      <c r="O10" s="22">
        <v>0</v>
      </c>
      <c r="P10" s="22">
        <v>0</v>
      </c>
      <c r="Q10" s="22">
        <v>106</v>
      </c>
      <c r="R10" s="26">
        <v>2</v>
      </c>
      <c r="S10" s="22">
        <v>4</v>
      </c>
      <c r="T10" s="22">
        <v>2027</v>
      </c>
      <c r="U10" s="24" t="s">
        <v>43</v>
      </c>
      <c r="V10" s="34">
        <v>2306808</v>
      </c>
      <c r="W10" s="22">
        <v>1</v>
      </c>
      <c r="X10" s="34">
        <v>7098</v>
      </c>
      <c r="Y10" s="34">
        <v>13813</v>
      </c>
      <c r="Z10" s="34">
        <v>2306808</v>
      </c>
      <c r="AA10" s="27">
        <v>1</v>
      </c>
      <c r="AB10" s="28">
        <v>1</v>
      </c>
      <c r="AC10" s="28">
        <v>1</v>
      </c>
      <c r="AD10" s="28">
        <v>1</v>
      </c>
      <c r="AE10" s="29">
        <f t="shared" si="0"/>
        <v>7098</v>
      </c>
      <c r="AF10" s="29">
        <f t="shared" si="1"/>
        <v>13813</v>
      </c>
    </row>
    <row r="11" spans="1:32" ht="15.75" x14ac:dyDescent="0.2">
      <c r="A11" s="19">
        <v>45736</v>
      </c>
      <c r="B11" s="20" t="s">
        <v>47</v>
      </c>
      <c r="C11" s="21">
        <v>1</v>
      </c>
      <c r="D11" s="22" t="s">
        <v>40</v>
      </c>
      <c r="E11" s="23">
        <v>14052</v>
      </c>
      <c r="F11" s="24">
        <v>60</v>
      </c>
      <c r="G11" s="24">
        <v>3</v>
      </c>
      <c r="H11" s="25" t="s">
        <v>41</v>
      </c>
      <c r="I11" s="26" t="s">
        <v>42</v>
      </c>
      <c r="J11" s="22" t="s">
        <v>42</v>
      </c>
      <c r="K11" s="22">
        <v>4</v>
      </c>
      <c r="L11" s="22">
        <v>1</v>
      </c>
      <c r="M11" s="22">
        <v>131</v>
      </c>
      <c r="N11" s="22">
        <v>107</v>
      </c>
      <c r="O11" s="22">
        <v>0</v>
      </c>
      <c r="P11" s="22">
        <v>0</v>
      </c>
      <c r="Q11" s="22">
        <v>0</v>
      </c>
      <c r="R11" s="26">
        <v>5</v>
      </c>
      <c r="S11" s="22">
        <v>10</v>
      </c>
      <c r="T11" s="22">
        <v>2027</v>
      </c>
      <c r="U11" s="24" t="s">
        <v>43</v>
      </c>
      <c r="V11" s="34">
        <v>1706808</v>
      </c>
      <c r="W11" s="22">
        <v>1</v>
      </c>
      <c r="X11" s="34">
        <v>13029</v>
      </c>
      <c r="Y11" s="34">
        <v>15951</v>
      </c>
      <c r="Z11" s="34">
        <v>1706808</v>
      </c>
      <c r="AA11" s="27">
        <v>1</v>
      </c>
      <c r="AB11" s="28">
        <v>1</v>
      </c>
      <c r="AC11" s="28">
        <v>1</v>
      </c>
      <c r="AD11" s="28">
        <v>1</v>
      </c>
      <c r="AE11" s="29">
        <f t="shared" si="0"/>
        <v>13029</v>
      </c>
      <c r="AF11" s="29">
        <f t="shared" si="1"/>
        <v>15951</v>
      </c>
    </row>
    <row r="12" spans="1:32" ht="15.75" x14ac:dyDescent="0.2">
      <c r="A12" s="19">
        <v>45707</v>
      </c>
      <c r="B12" s="20" t="s">
        <v>46</v>
      </c>
      <c r="C12" s="21">
        <v>1</v>
      </c>
      <c r="D12" s="22" t="s">
        <v>40</v>
      </c>
      <c r="E12" s="23">
        <v>14051</v>
      </c>
      <c r="F12" s="24">
        <v>131</v>
      </c>
      <c r="G12" s="24">
        <v>3</v>
      </c>
      <c r="H12" s="25" t="s">
        <v>41</v>
      </c>
      <c r="I12" s="26" t="s">
        <v>42</v>
      </c>
      <c r="J12" s="22" t="s">
        <v>42</v>
      </c>
      <c r="K12" s="22">
        <v>4</v>
      </c>
      <c r="L12" s="22">
        <v>1</v>
      </c>
      <c r="M12" s="22">
        <v>131</v>
      </c>
      <c r="N12" s="22">
        <v>107</v>
      </c>
      <c r="O12" s="22">
        <v>0</v>
      </c>
      <c r="P12" s="22">
        <v>0</v>
      </c>
      <c r="Q12" s="22">
        <v>0</v>
      </c>
      <c r="R12" s="26">
        <v>5</v>
      </c>
      <c r="S12" s="22">
        <v>12</v>
      </c>
      <c r="T12" s="22">
        <v>2027</v>
      </c>
      <c r="U12" s="24" t="s">
        <v>43</v>
      </c>
      <c r="V12" s="34">
        <v>1686808</v>
      </c>
      <c r="W12" s="22">
        <v>1</v>
      </c>
      <c r="X12" s="34">
        <v>12876</v>
      </c>
      <c r="Y12" s="34">
        <v>15765</v>
      </c>
      <c r="Z12" s="34">
        <v>1686808</v>
      </c>
      <c r="AA12" s="27">
        <v>1</v>
      </c>
      <c r="AB12" s="28">
        <v>1</v>
      </c>
      <c r="AC12" s="28">
        <v>1</v>
      </c>
      <c r="AD12" s="28">
        <v>1</v>
      </c>
      <c r="AE12" s="29">
        <f t="shared" si="0"/>
        <v>12876</v>
      </c>
      <c r="AF12" s="29">
        <f t="shared" si="1"/>
        <v>15765</v>
      </c>
    </row>
    <row r="13" spans="1:32" ht="15.75" x14ac:dyDescent="0.2">
      <c r="A13" s="19">
        <v>45701</v>
      </c>
      <c r="B13" s="20" t="s">
        <v>46</v>
      </c>
      <c r="C13" s="21">
        <v>1</v>
      </c>
      <c r="D13" s="22" t="s">
        <v>40</v>
      </c>
      <c r="E13" s="23">
        <v>14051</v>
      </c>
      <c r="F13" s="24">
        <v>131</v>
      </c>
      <c r="G13" s="24">
        <v>4</v>
      </c>
      <c r="H13" s="25" t="s">
        <v>41</v>
      </c>
      <c r="I13" s="26" t="s">
        <v>42</v>
      </c>
      <c r="J13" s="22" t="s">
        <v>42</v>
      </c>
      <c r="K13" s="22">
        <v>4</v>
      </c>
      <c r="L13" s="22">
        <v>1</v>
      </c>
      <c r="M13" s="22">
        <v>130</v>
      </c>
      <c r="N13" s="22">
        <v>107</v>
      </c>
      <c r="O13" s="22">
        <v>0</v>
      </c>
      <c r="P13" s="22">
        <v>0</v>
      </c>
      <c r="Q13" s="22">
        <v>0</v>
      </c>
      <c r="R13" s="26">
        <v>5</v>
      </c>
      <c r="S13" s="22">
        <v>12</v>
      </c>
      <c r="T13" s="22">
        <v>2024</v>
      </c>
      <c r="U13" s="24" t="s">
        <v>43</v>
      </c>
      <c r="V13" s="34">
        <v>1686807</v>
      </c>
      <c r="W13" s="22">
        <v>1</v>
      </c>
      <c r="X13" s="34">
        <v>12975</v>
      </c>
      <c r="Y13" s="34">
        <v>15765</v>
      </c>
      <c r="Z13" s="34">
        <v>1686807</v>
      </c>
      <c r="AA13" s="27">
        <v>1</v>
      </c>
      <c r="AB13" s="28">
        <v>1</v>
      </c>
      <c r="AC13" s="28">
        <v>1</v>
      </c>
      <c r="AD13" s="28">
        <v>1</v>
      </c>
      <c r="AE13" s="29">
        <f t="shared" si="0"/>
        <v>12975</v>
      </c>
      <c r="AF13" s="29">
        <f t="shared" si="1"/>
        <v>15765</v>
      </c>
    </row>
    <row r="14" spans="1:32" ht="15.75" x14ac:dyDescent="0.2">
      <c r="A14" s="19">
        <v>45699</v>
      </c>
      <c r="B14" s="20" t="s">
        <v>46</v>
      </c>
      <c r="C14" s="21">
        <v>1</v>
      </c>
      <c r="D14" s="22" t="s">
        <v>40</v>
      </c>
      <c r="E14" s="23">
        <v>14052</v>
      </c>
      <c r="F14" s="24">
        <v>60</v>
      </c>
      <c r="G14" s="24">
        <v>4</v>
      </c>
      <c r="H14" s="25" t="s">
        <v>41</v>
      </c>
      <c r="I14" s="26" t="s">
        <v>42</v>
      </c>
      <c r="J14" s="22" t="s">
        <v>42</v>
      </c>
      <c r="K14" s="22">
        <v>4</v>
      </c>
      <c r="L14" s="22">
        <v>1</v>
      </c>
      <c r="M14" s="22">
        <v>131</v>
      </c>
      <c r="N14" s="22">
        <v>107</v>
      </c>
      <c r="O14" s="22">
        <v>0</v>
      </c>
      <c r="P14" s="22">
        <v>0</v>
      </c>
      <c r="Q14" s="22">
        <v>0</v>
      </c>
      <c r="R14" s="26">
        <v>5</v>
      </c>
      <c r="S14" s="22">
        <v>10</v>
      </c>
      <c r="T14" s="22">
        <v>2024</v>
      </c>
      <c r="U14" s="24" t="s">
        <v>43</v>
      </c>
      <c r="V14" s="34">
        <v>1676808</v>
      </c>
      <c r="W14" s="22">
        <v>1</v>
      </c>
      <c r="X14" s="34">
        <v>12800</v>
      </c>
      <c r="Y14" s="34">
        <v>15671</v>
      </c>
      <c r="Z14" s="34">
        <v>1676808</v>
      </c>
      <c r="AA14" s="27">
        <v>1</v>
      </c>
      <c r="AB14" s="28">
        <v>1</v>
      </c>
      <c r="AC14" s="28">
        <v>1</v>
      </c>
      <c r="AD14" s="28">
        <v>1</v>
      </c>
      <c r="AE14" s="29">
        <f t="shared" si="0"/>
        <v>12800</v>
      </c>
      <c r="AF14" s="29">
        <f t="shared" si="1"/>
        <v>15671</v>
      </c>
    </row>
    <row r="15" spans="1:32" ht="15.75" x14ac:dyDescent="0.2">
      <c r="A15" s="19">
        <v>45674</v>
      </c>
      <c r="B15" s="20" t="s">
        <v>48</v>
      </c>
      <c r="C15" s="21">
        <v>1</v>
      </c>
      <c r="D15" s="22" t="s">
        <v>40</v>
      </c>
      <c r="E15" s="23">
        <v>14156</v>
      </c>
      <c r="F15" s="24">
        <v>150</v>
      </c>
      <c r="G15" s="24">
        <v>0</v>
      </c>
      <c r="H15" s="25" t="s">
        <v>41</v>
      </c>
      <c r="I15" s="26" t="s">
        <v>49</v>
      </c>
      <c r="J15" s="22" t="s">
        <v>50</v>
      </c>
      <c r="K15" s="22">
        <v>5</v>
      </c>
      <c r="L15" s="22">
        <v>1</v>
      </c>
      <c r="M15" s="22">
        <v>160</v>
      </c>
      <c r="N15" s="22">
        <v>240</v>
      </c>
      <c r="O15" s="22">
        <v>0</v>
      </c>
      <c r="P15" s="22">
        <v>0</v>
      </c>
      <c r="Q15" s="22">
        <v>0</v>
      </c>
      <c r="R15" s="26">
        <v>1</v>
      </c>
      <c r="S15" s="22">
        <v>1</v>
      </c>
      <c r="T15" s="22">
        <v>2023</v>
      </c>
      <c r="U15" s="24" t="s">
        <v>43</v>
      </c>
      <c r="V15" s="34">
        <v>2000000</v>
      </c>
      <c r="W15" s="22">
        <v>0.5</v>
      </c>
      <c r="X15" s="34">
        <v>25000</v>
      </c>
      <c r="Y15" s="34">
        <v>16667</v>
      </c>
      <c r="Z15" s="34">
        <v>2000000</v>
      </c>
      <c r="AA15" s="27">
        <v>1</v>
      </c>
      <c r="AB15" s="28">
        <v>1</v>
      </c>
      <c r="AC15" s="28">
        <v>1</v>
      </c>
      <c r="AD15" s="28">
        <v>1</v>
      </c>
      <c r="AE15" s="29">
        <f t="shared" si="0"/>
        <v>25000</v>
      </c>
      <c r="AF15" s="29">
        <f t="shared" si="1"/>
        <v>16667</v>
      </c>
    </row>
    <row r="16" spans="1:32" ht="15.75" x14ac:dyDescent="0.2">
      <c r="A16" s="19">
        <v>45655</v>
      </c>
      <c r="B16" s="20" t="s">
        <v>51</v>
      </c>
      <c r="C16" s="21">
        <v>8</v>
      </c>
      <c r="D16" s="22" t="s">
        <v>40</v>
      </c>
      <c r="E16" s="23">
        <v>14052</v>
      </c>
      <c r="F16" s="24">
        <v>60</v>
      </c>
      <c r="G16" s="24">
        <v>8</v>
      </c>
      <c r="H16" s="25" t="s">
        <v>41</v>
      </c>
      <c r="I16" s="26" t="s">
        <v>42</v>
      </c>
      <c r="J16" s="22" t="s">
        <v>42</v>
      </c>
      <c r="K16" s="22">
        <v>5</v>
      </c>
      <c r="L16" s="22">
        <v>1</v>
      </c>
      <c r="M16" s="22">
        <v>293</v>
      </c>
      <c r="N16" s="22">
        <v>131</v>
      </c>
      <c r="O16" s="22">
        <v>0</v>
      </c>
      <c r="P16" s="22">
        <v>0</v>
      </c>
      <c r="Q16" s="22">
        <v>162</v>
      </c>
      <c r="R16" s="26">
        <v>5</v>
      </c>
      <c r="S16" s="22">
        <v>10</v>
      </c>
      <c r="T16" s="22">
        <v>2024</v>
      </c>
      <c r="U16" s="24" t="s">
        <v>43</v>
      </c>
      <c r="V16" s="34">
        <v>2106522</v>
      </c>
      <c r="W16" s="22">
        <v>1</v>
      </c>
      <c r="X16" s="34">
        <v>7189</v>
      </c>
      <c r="Y16" s="34">
        <v>16080</v>
      </c>
      <c r="Z16" s="34">
        <v>2106522</v>
      </c>
      <c r="AA16" s="27">
        <v>1</v>
      </c>
      <c r="AB16" s="28">
        <v>1</v>
      </c>
      <c r="AC16" s="28">
        <v>1</v>
      </c>
      <c r="AD16" s="28">
        <v>1</v>
      </c>
      <c r="AE16" s="29">
        <f t="shared" si="0"/>
        <v>7189</v>
      </c>
      <c r="AF16" s="29">
        <f t="shared" si="1"/>
        <v>16080</v>
      </c>
    </row>
    <row r="17" spans="1:32" ht="15.75" x14ac:dyDescent="0.2">
      <c r="A17" s="19">
        <v>45628</v>
      </c>
      <c r="B17" s="20" t="s">
        <v>51</v>
      </c>
      <c r="C17" s="21">
        <v>7</v>
      </c>
      <c r="D17" s="22" t="s">
        <v>40</v>
      </c>
      <c r="E17" s="23">
        <v>14051</v>
      </c>
      <c r="F17" s="24">
        <v>131</v>
      </c>
      <c r="G17" s="24">
        <v>7</v>
      </c>
      <c r="H17" s="25" t="s">
        <v>41</v>
      </c>
      <c r="I17" s="26" t="s">
        <v>42</v>
      </c>
      <c r="J17" s="22" t="s">
        <v>42</v>
      </c>
      <c r="K17" s="22">
        <v>5</v>
      </c>
      <c r="L17" s="22">
        <v>5</v>
      </c>
      <c r="M17" s="22">
        <v>330</v>
      </c>
      <c r="N17" s="22">
        <v>121</v>
      </c>
      <c r="O17" s="22">
        <v>0</v>
      </c>
      <c r="P17" s="22">
        <v>0</v>
      </c>
      <c r="Q17" s="22">
        <v>209</v>
      </c>
      <c r="R17" s="26">
        <v>5</v>
      </c>
      <c r="S17" s="22">
        <v>12</v>
      </c>
      <c r="T17" s="22">
        <v>2024</v>
      </c>
      <c r="U17" s="24" t="s">
        <v>43</v>
      </c>
      <c r="V17" s="34">
        <v>2056522</v>
      </c>
      <c r="W17" s="22">
        <v>1</v>
      </c>
      <c r="X17" s="34">
        <v>6232</v>
      </c>
      <c r="Y17" s="34">
        <v>16996</v>
      </c>
      <c r="Z17" s="34">
        <v>2056522</v>
      </c>
      <c r="AA17" s="27">
        <v>1</v>
      </c>
      <c r="AB17" s="28">
        <v>1</v>
      </c>
      <c r="AC17" s="28">
        <v>1</v>
      </c>
      <c r="AD17" s="28">
        <v>1</v>
      </c>
      <c r="AE17" s="29">
        <f t="shared" si="0"/>
        <v>6232</v>
      </c>
      <c r="AF17" s="29">
        <f t="shared" si="1"/>
        <v>16996</v>
      </c>
    </row>
    <row r="18" spans="1:32" ht="15.75" x14ac:dyDescent="0.2">
      <c r="A18" s="19">
        <v>45525</v>
      </c>
      <c r="B18" s="20" t="s">
        <v>52</v>
      </c>
      <c r="C18" s="21">
        <v>1</v>
      </c>
      <c r="D18" s="22" t="s">
        <v>40</v>
      </c>
      <c r="E18" s="23">
        <v>14051</v>
      </c>
      <c r="F18" s="24">
        <v>92</v>
      </c>
      <c r="G18" s="24">
        <v>3</v>
      </c>
      <c r="H18" s="25" t="s">
        <v>41</v>
      </c>
      <c r="I18" s="26" t="s">
        <v>42</v>
      </c>
      <c r="J18" s="22" t="s">
        <v>42</v>
      </c>
      <c r="K18" s="22">
        <v>5</v>
      </c>
      <c r="L18" s="22">
        <v>1</v>
      </c>
      <c r="M18" s="22">
        <v>138</v>
      </c>
      <c r="N18" s="22">
        <v>138</v>
      </c>
      <c r="O18" s="22">
        <v>109</v>
      </c>
      <c r="P18" s="22">
        <v>0</v>
      </c>
      <c r="Q18" s="22">
        <v>79</v>
      </c>
      <c r="R18" s="26">
        <v>3</v>
      </c>
      <c r="S18" s="22">
        <v>6</v>
      </c>
      <c r="T18" s="22">
        <v>2022</v>
      </c>
      <c r="U18" s="24" t="s">
        <v>43</v>
      </c>
      <c r="V18" s="34">
        <v>1820000</v>
      </c>
      <c r="W18" s="22">
        <v>1</v>
      </c>
      <c r="X18" s="34">
        <v>13188</v>
      </c>
      <c r="Y18" s="34">
        <v>13188</v>
      </c>
      <c r="Z18" s="34">
        <v>1820000</v>
      </c>
      <c r="AA18" s="27">
        <v>1</v>
      </c>
      <c r="AB18" s="28">
        <v>1</v>
      </c>
      <c r="AC18" s="28">
        <v>1</v>
      </c>
      <c r="AD18" s="28">
        <v>1</v>
      </c>
      <c r="AE18" s="29">
        <f t="shared" si="0"/>
        <v>13188</v>
      </c>
      <c r="AF18" s="29">
        <f t="shared" si="1"/>
        <v>13188</v>
      </c>
    </row>
    <row r="19" spans="1:32" ht="15.75" x14ac:dyDescent="0.2">
      <c r="A19" s="19">
        <v>45502</v>
      </c>
      <c r="B19" s="20" t="s">
        <v>53</v>
      </c>
      <c r="C19" s="21">
        <v>5</v>
      </c>
      <c r="D19" s="22" t="s">
        <v>40</v>
      </c>
      <c r="E19" s="23">
        <v>14052</v>
      </c>
      <c r="F19" s="24">
        <v>60</v>
      </c>
      <c r="G19" s="24">
        <v>5</v>
      </c>
      <c r="H19" s="25" t="s">
        <v>41</v>
      </c>
      <c r="I19" s="26" t="s">
        <v>42</v>
      </c>
      <c r="J19" s="22" t="s">
        <v>42</v>
      </c>
      <c r="K19" s="22">
        <v>4</v>
      </c>
      <c r="L19" s="22">
        <v>2</v>
      </c>
      <c r="M19" s="22">
        <v>121</v>
      </c>
      <c r="N19" s="22">
        <v>107</v>
      </c>
      <c r="O19" s="22">
        <v>0</v>
      </c>
      <c r="P19" s="22">
        <v>0</v>
      </c>
      <c r="Q19" s="22">
        <v>0</v>
      </c>
      <c r="R19" s="26">
        <v>4</v>
      </c>
      <c r="S19" s="22">
        <v>10</v>
      </c>
      <c r="T19" s="22">
        <v>2024</v>
      </c>
      <c r="U19" s="24" t="s">
        <v>43</v>
      </c>
      <c r="V19" s="34">
        <v>771876</v>
      </c>
      <c r="W19" s="22">
        <v>1</v>
      </c>
      <c r="X19" s="34">
        <v>6379</v>
      </c>
      <c r="Y19" s="34">
        <v>7214</v>
      </c>
      <c r="Z19" s="34">
        <v>771876</v>
      </c>
      <c r="AA19" s="27">
        <v>1</v>
      </c>
      <c r="AB19" s="28">
        <v>1</v>
      </c>
      <c r="AC19" s="28">
        <v>1</v>
      </c>
      <c r="AD19" s="28">
        <v>1</v>
      </c>
      <c r="AE19" s="29">
        <f t="shared" si="0"/>
        <v>6379</v>
      </c>
      <c r="AF19" s="29">
        <f t="shared" si="1"/>
        <v>7214</v>
      </c>
    </row>
    <row r="20" spans="1:32" ht="15.75" x14ac:dyDescent="0.2">
      <c r="A20" s="19">
        <v>45495</v>
      </c>
      <c r="B20" s="20" t="s">
        <v>53</v>
      </c>
      <c r="C20" s="21">
        <v>2</v>
      </c>
      <c r="D20" s="22" t="s">
        <v>40</v>
      </c>
      <c r="E20" s="23">
        <v>14051</v>
      </c>
      <c r="F20" s="24">
        <v>131</v>
      </c>
      <c r="G20" s="24">
        <v>2</v>
      </c>
      <c r="H20" s="25" t="s">
        <v>41</v>
      </c>
      <c r="I20" s="26" t="s">
        <v>54</v>
      </c>
      <c r="J20" s="22" t="s">
        <v>54</v>
      </c>
      <c r="K20" s="22">
        <v>5</v>
      </c>
      <c r="L20" s="22">
        <v>1</v>
      </c>
      <c r="M20" s="22">
        <v>341</v>
      </c>
      <c r="N20" s="22">
        <v>119</v>
      </c>
      <c r="O20" s="22">
        <v>0</v>
      </c>
      <c r="P20" s="22">
        <v>0</v>
      </c>
      <c r="Q20" s="22">
        <v>222</v>
      </c>
      <c r="R20" s="26">
        <v>5</v>
      </c>
      <c r="S20" s="22">
        <v>12</v>
      </c>
      <c r="T20" s="22">
        <v>2024</v>
      </c>
      <c r="U20" s="24" t="s">
        <v>43</v>
      </c>
      <c r="V20" s="34">
        <v>1986523</v>
      </c>
      <c r="W20" s="22">
        <v>1</v>
      </c>
      <c r="X20" s="34">
        <v>5826</v>
      </c>
      <c r="Y20" s="34">
        <v>16693</v>
      </c>
      <c r="Z20" s="34">
        <v>1986523</v>
      </c>
      <c r="AA20" s="27">
        <v>1</v>
      </c>
      <c r="AB20" s="28">
        <v>1</v>
      </c>
      <c r="AC20" s="28">
        <v>1</v>
      </c>
      <c r="AD20" s="28">
        <v>1</v>
      </c>
      <c r="AE20" s="29">
        <f t="shared" si="0"/>
        <v>5826</v>
      </c>
      <c r="AF20" s="29">
        <f t="shared" si="1"/>
        <v>16693</v>
      </c>
    </row>
    <row r="21" spans="1:32" ht="15.75" x14ac:dyDescent="0.2">
      <c r="A21" s="19">
        <v>45490</v>
      </c>
      <c r="B21" s="20" t="s">
        <v>55</v>
      </c>
      <c r="C21" s="21">
        <v>7</v>
      </c>
      <c r="D21" s="22" t="s">
        <v>40</v>
      </c>
      <c r="E21" s="23">
        <v>14052</v>
      </c>
      <c r="F21" s="24">
        <v>60</v>
      </c>
      <c r="G21" s="24">
        <v>7</v>
      </c>
      <c r="H21" s="25" t="s">
        <v>41</v>
      </c>
      <c r="I21" s="26" t="s">
        <v>42</v>
      </c>
      <c r="J21" s="22" t="s">
        <v>54</v>
      </c>
      <c r="K21" s="22">
        <v>5</v>
      </c>
      <c r="L21" s="22">
        <v>1</v>
      </c>
      <c r="M21" s="22">
        <v>236</v>
      </c>
      <c r="N21" s="22">
        <v>121</v>
      </c>
      <c r="O21" s="22">
        <v>0</v>
      </c>
      <c r="P21" s="22">
        <v>0</v>
      </c>
      <c r="Q21" s="22">
        <v>115</v>
      </c>
      <c r="R21" s="26">
        <v>5</v>
      </c>
      <c r="S21" s="22">
        <v>10</v>
      </c>
      <c r="T21" s="22">
        <v>2024</v>
      </c>
      <c r="U21" s="24" t="s">
        <v>43</v>
      </c>
      <c r="V21" s="34">
        <v>1906523</v>
      </c>
      <c r="W21" s="22">
        <v>1</v>
      </c>
      <c r="X21" s="34">
        <v>8078</v>
      </c>
      <c r="Y21" s="34">
        <v>15756</v>
      </c>
      <c r="Z21" s="34">
        <v>1906523</v>
      </c>
      <c r="AA21" s="27">
        <v>1</v>
      </c>
      <c r="AB21" s="28">
        <v>1</v>
      </c>
      <c r="AC21" s="28">
        <v>1</v>
      </c>
      <c r="AD21" s="28">
        <v>1</v>
      </c>
      <c r="AE21" s="29">
        <f t="shared" si="0"/>
        <v>8078</v>
      </c>
      <c r="AF21" s="29">
        <f t="shared" si="1"/>
        <v>15756</v>
      </c>
    </row>
    <row r="22" spans="1:32" ht="15.75" x14ac:dyDescent="0.2"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5"/>
      <c r="W22" s="30"/>
      <c r="X22" s="35"/>
      <c r="Y22" s="35"/>
      <c r="Z22" s="35"/>
    </row>
    <row r="23" spans="1:32" ht="15.75" x14ac:dyDescent="0.2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5"/>
      <c r="W23" s="30"/>
      <c r="X23" s="35"/>
      <c r="Y23" s="35"/>
      <c r="Z23" s="35"/>
    </row>
    <row r="24" spans="1:32" ht="15.75" x14ac:dyDescent="0.2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5"/>
      <c r="W24" s="30"/>
      <c r="X24" s="35"/>
      <c r="Y24" s="35"/>
      <c r="Z24" s="35"/>
    </row>
    <row r="25" spans="1:32" ht="15.75" x14ac:dyDescent="0.2"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5"/>
      <c r="W25" s="30"/>
      <c r="X25" s="35"/>
      <c r="Y25" s="35"/>
      <c r="Z25" s="35"/>
    </row>
    <row r="26" spans="1:32" ht="15.75" x14ac:dyDescent="0.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5"/>
      <c r="W26" s="30"/>
      <c r="X26" s="35"/>
      <c r="Y26" s="35"/>
      <c r="Z26" s="35"/>
    </row>
    <row r="27" spans="1:32" ht="15.75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AB27" s="30"/>
      <c r="AC27" s="30"/>
      <c r="AD27" s="30"/>
      <c r="AE27" s="30"/>
      <c r="AF27" s="30"/>
    </row>
    <row r="28" spans="1:32" ht="15.75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AB28" s="30"/>
      <c r="AC28" s="30"/>
      <c r="AD28" s="30"/>
      <c r="AE28" s="30"/>
      <c r="AF28" s="30"/>
    </row>
    <row r="29" spans="1:32" ht="15.75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AB29" s="30"/>
      <c r="AC29" s="30"/>
      <c r="AD29" s="30"/>
      <c r="AE29" s="30"/>
      <c r="AF29" s="30"/>
    </row>
    <row r="30" spans="1:32" ht="15.75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AB30" s="30"/>
      <c r="AC30" s="30"/>
      <c r="AD30" s="30"/>
      <c r="AE30" s="30"/>
      <c r="AF30" s="30"/>
    </row>
    <row r="31" spans="1:32" ht="15.75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AB31" s="30"/>
      <c r="AC31" s="30"/>
      <c r="AD31" s="30"/>
      <c r="AE31" s="30"/>
      <c r="AF31" s="30"/>
    </row>
    <row r="32" spans="1:32" ht="15.75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AB32" s="30"/>
      <c r="AC32" s="30"/>
      <c r="AD32" s="30"/>
      <c r="AE32" s="30"/>
      <c r="AF32" s="30"/>
    </row>
    <row r="33" spans="1:32" ht="15.75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AB33" s="30"/>
      <c r="AC33" s="30"/>
      <c r="AD33" s="30"/>
      <c r="AE33" s="30"/>
      <c r="AF33" s="30"/>
    </row>
    <row r="34" spans="1:32" ht="15.75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AB34" s="30"/>
      <c r="AC34" s="30"/>
      <c r="AD34" s="30"/>
      <c r="AE34" s="30"/>
      <c r="AF34" s="30"/>
    </row>
    <row r="35" spans="1:32" ht="15.75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AB35" s="30"/>
      <c r="AC35" s="30"/>
      <c r="AD35" s="30"/>
      <c r="AE35" s="30"/>
      <c r="AF35" s="30"/>
    </row>
    <row r="36" spans="1:32" ht="15.75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AB36" s="30"/>
      <c r="AC36" s="30"/>
      <c r="AD36" s="30"/>
      <c r="AE36" s="30"/>
      <c r="AF36" s="30"/>
    </row>
    <row r="37" spans="1:32" ht="15.75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AB37" s="30"/>
      <c r="AC37" s="30"/>
      <c r="AD37" s="30"/>
      <c r="AE37" s="30"/>
      <c r="AF37" s="30"/>
    </row>
    <row r="38" spans="1:32" ht="15.75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AB38" s="30"/>
      <c r="AC38" s="30"/>
      <c r="AD38" s="30"/>
      <c r="AE38" s="30"/>
      <c r="AF38" s="30"/>
    </row>
    <row r="39" spans="1:32" ht="15.75" x14ac:dyDescent="0.2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AB39" s="30"/>
      <c r="AC39" s="30"/>
      <c r="AD39" s="30"/>
      <c r="AE39" s="30"/>
      <c r="AF39" s="30"/>
    </row>
    <row r="40" spans="1:32" ht="15.75" x14ac:dyDescent="0.2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AB40" s="30"/>
      <c r="AC40" s="30"/>
      <c r="AD40" s="30"/>
      <c r="AE40" s="30"/>
      <c r="AF40" s="30"/>
    </row>
    <row r="41" spans="1:32" ht="15.75" x14ac:dyDescent="0.2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AB41" s="30"/>
      <c r="AC41" s="30"/>
      <c r="AD41" s="30"/>
      <c r="AE41" s="30"/>
      <c r="AF41" s="30"/>
    </row>
    <row r="42" spans="1:32" ht="15.75" x14ac:dyDescent="0.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AB42" s="30"/>
      <c r="AC42" s="30"/>
      <c r="AD42" s="30"/>
      <c r="AE42" s="30"/>
      <c r="AF42" s="30"/>
    </row>
    <row r="43" spans="1:32" ht="15.75" x14ac:dyDescent="0.2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AB43" s="30"/>
      <c r="AC43" s="30"/>
      <c r="AD43" s="30"/>
      <c r="AE43" s="30"/>
      <c r="AF43" s="30"/>
    </row>
    <row r="44" spans="1:32" ht="15.75" x14ac:dyDescent="0.2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AB44" s="30"/>
      <c r="AC44" s="30"/>
      <c r="AD44" s="30"/>
      <c r="AE44" s="30"/>
      <c r="AF44" s="30"/>
    </row>
    <row r="45" spans="1:32" ht="15.75" x14ac:dyDescent="0.2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AB45" s="30"/>
      <c r="AC45" s="30"/>
      <c r="AD45" s="30"/>
      <c r="AE45" s="30"/>
      <c r="AF45" s="30"/>
    </row>
    <row r="46" spans="1:32" ht="15.75" x14ac:dyDescent="0.2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AB46" s="30"/>
      <c r="AC46" s="30"/>
      <c r="AD46" s="30"/>
      <c r="AE46" s="30"/>
      <c r="AF46" s="30"/>
    </row>
    <row r="47" spans="1:32" ht="15.75" x14ac:dyDescent="0.2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AB47" s="30"/>
      <c r="AC47" s="30"/>
      <c r="AD47" s="30"/>
      <c r="AE47" s="30"/>
      <c r="AF47" s="30"/>
    </row>
    <row r="48" spans="1:32" ht="15.75" x14ac:dyDescent="0.2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AB48" s="30"/>
      <c r="AC48" s="30"/>
      <c r="AD48" s="30"/>
      <c r="AE48" s="30"/>
      <c r="AF48" s="30"/>
    </row>
    <row r="49" spans="1:32" ht="15.75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AB49" s="30"/>
      <c r="AC49" s="30"/>
      <c r="AD49" s="30"/>
      <c r="AE49" s="30"/>
      <c r="AF49" s="30"/>
    </row>
    <row r="50" spans="1:32" ht="15.75" x14ac:dyDescent="0.2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AB50" s="30"/>
      <c r="AC50" s="30"/>
      <c r="AD50" s="30"/>
      <c r="AE50" s="30"/>
      <c r="AF50" s="30"/>
    </row>
    <row r="51" spans="1:32" ht="15.75" x14ac:dyDescent="0.2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AB51" s="30"/>
      <c r="AC51" s="30"/>
      <c r="AD51" s="30"/>
      <c r="AE51" s="30"/>
      <c r="AF51" s="30"/>
    </row>
    <row r="52" spans="1:32" ht="15.75" x14ac:dyDescent="0.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AB52" s="30"/>
      <c r="AC52" s="30"/>
      <c r="AD52" s="30"/>
      <c r="AE52" s="30"/>
      <c r="AF52" s="30"/>
    </row>
    <row r="53" spans="1:32" ht="15.75" x14ac:dyDescent="0.2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AB53" s="30"/>
      <c r="AC53" s="30"/>
      <c r="AD53" s="30"/>
      <c r="AE53" s="30"/>
      <c r="AF53" s="30"/>
    </row>
    <row r="54" spans="1:32" ht="15.75" x14ac:dyDescent="0.2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AB54" s="30"/>
      <c r="AC54" s="30"/>
      <c r="AD54" s="30"/>
      <c r="AE54" s="30"/>
      <c r="AF54" s="30"/>
    </row>
    <row r="55" spans="1:32" ht="15.75" x14ac:dyDescent="0.2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AB55" s="30"/>
      <c r="AC55" s="30"/>
      <c r="AD55" s="30"/>
      <c r="AE55" s="30"/>
      <c r="AF55" s="30"/>
    </row>
    <row r="56" spans="1:32" ht="15.75" x14ac:dyDescent="0.2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AB56" s="30"/>
      <c r="AC56" s="30"/>
      <c r="AD56" s="30"/>
      <c r="AE56" s="30"/>
      <c r="AF56" s="30"/>
    </row>
    <row r="57" spans="1:32" ht="15.75" x14ac:dyDescent="0.2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AB57" s="30"/>
      <c r="AC57" s="30"/>
      <c r="AD57" s="30"/>
      <c r="AE57" s="30"/>
      <c r="AF57" s="30"/>
    </row>
    <row r="58" spans="1:32" ht="15.75" x14ac:dyDescent="0.2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AB58" s="30"/>
      <c r="AC58" s="30"/>
      <c r="AD58" s="30"/>
      <c r="AE58" s="30"/>
      <c r="AF58" s="30"/>
    </row>
    <row r="59" spans="1:32" ht="15.75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AB59" s="30"/>
      <c r="AC59" s="30"/>
      <c r="AD59" s="30"/>
      <c r="AE59" s="30"/>
      <c r="AF59" s="30"/>
    </row>
    <row r="60" spans="1:32" ht="15.75" x14ac:dyDescent="0.2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AB60" s="30"/>
      <c r="AC60" s="30"/>
      <c r="AD60" s="30"/>
      <c r="AE60" s="30"/>
      <c r="AF60" s="30"/>
    </row>
    <row r="61" spans="1:32" ht="15.75" x14ac:dyDescent="0.2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AB61" s="30"/>
      <c r="AC61" s="30"/>
      <c r="AD61" s="30"/>
      <c r="AE61" s="30"/>
      <c r="AF61" s="30"/>
    </row>
    <row r="62" spans="1:32" ht="15.75" x14ac:dyDescent="0.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AB62" s="30"/>
      <c r="AC62" s="30"/>
      <c r="AD62" s="30"/>
      <c r="AE62" s="30"/>
      <c r="AF62" s="30"/>
    </row>
    <row r="63" spans="1:32" ht="15.75" x14ac:dyDescent="0.2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AB63" s="30"/>
      <c r="AC63" s="30"/>
      <c r="AD63" s="30"/>
      <c r="AE63" s="30"/>
      <c r="AF63" s="30"/>
    </row>
    <row r="64" spans="1:32" ht="15.75" x14ac:dyDescent="0.2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AB64" s="30"/>
      <c r="AC64" s="30"/>
      <c r="AD64" s="30"/>
      <c r="AE64" s="30"/>
      <c r="AF64" s="30"/>
    </row>
    <row r="65" spans="1:32" ht="15.75" x14ac:dyDescent="0.2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AB65" s="30"/>
      <c r="AC65" s="30"/>
      <c r="AD65" s="30"/>
      <c r="AE65" s="30"/>
      <c r="AF65" s="30"/>
    </row>
    <row r="66" spans="1:32" ht="15.75" x14ac:dyDescent="0.2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AB66" s="30"/>
      <c r="AC66" s="30"/>
      <c r="AD66" s="30"/>
      <c r="AE66" s="30"/>
      <c r="AF66" s="30"/>
    </row>
    <row r="67" spans="1:32" ht="15.75" x14ac:dyDescent="0.2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AB67" s="30"/>
      <c r="AC67" s="30"/>
      <c r="AD67" s="30"/>
      <c r="AE67" s="30"/>
      <c r="AF67" s="30"/>
    </row>
    <row r="68" spans="1:32" ht="15.75" x14ac:dyDescent="0.2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AB68" s="30"/>
      <c r="AC68" s="30"/>
      <c r="AD68" s="30"/>
      <c r="AE68" s="30"/>
      <c r="AF68" s="30"/>
    </row>
    <row r="69" spans="1:32" ht="15.75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AB69" s="30"/>
      <c r="AC69" s="30"/>
      <c r="AD69" s="30"/>
      <c r="AE69" s="30"/>
      <c r="AF69" s="30"/>
    </row>
    <row r="70" spans="1:32" ht="15.75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AB70" s="30"/>
      <c r="AC70" s="30"/>
      <c r="AD70" s="30"/>
      <c r="AE70" s="30"/>
      <c r="AF70" s="30"/>
    </row>
    <row r="71" spans="1:32" ht="15.75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AB71" s="30"/>
      <c r="AC71" s="30"/>
      <c r="AD71" s="30"/>
      <c r="AE71" s="30"/>
      <c r="AF71" s="30"/>
    </row>
    <row r="72" spans="1:32" ht="15.75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AB72" s="30"/>
      <c r="AC72" s="30"/>
      <c r="AD72" s="30"/>
      <c r="AE72" s="30"/>
      <c r="AF72" s="30"/>
    </row>
    <row r="73" spans="1:32" ht="15.75" x14ac:dyDescent="0.2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AB73" s="30"/>
      <c r="AC73" s="30"/>
      <c r="AD73" s="30"/>
      <c r="AE73" s="30"/>
      <c r="AF73" s="30"/>
    </row>
    <row r="74" spans="1:32" ht="15.75" x14ac:dyDescent="0.2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AB74" s="30"/>
      <c r="AC74" s="30"/>
      <c r="AD74" s="30"/>
      <c r="AE74" s="30"/>
      <c r="AF74" s="30"/>
    </row>
    <row r="75" spans="1:32" ht="15.75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AB75" s="30"/>
      <c r="AC75" s="30"/>
      <c r="AD75" s="30"/>
      <c r="AE75" s="30"/>
      <c r="AF75" s="30"/>
    </row>
    <row r="76" spans="1:32" ht="15.75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AB76" s="30"/>
      <c r="AC76" s="30"/>
      <c r="AD76" s="30"/>
      <c r="AE76" s="30"/>
      <c r="AF76" s="30"/>
    </row>
    <row r="77" spans="1:32" ht="15.75" x14ac:dyDescent="0.2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AB77" s="30"/>
      <c r="AC77" s="30"/>
      <c r="AD77" s="30"/>
      <c r="AE77" s="30"/>
      <c r="AF77" s="30"/>
    </row>
    <row r="78" spans="1:32" ht="15.75" x14ac:dyDescent="0.2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AB78" s="30"/>
      <c r="AC78" s="30"/>
      <c r="AD78" s="30"/>
      <c r="AE78" s="30"/>
      <c r="AF78" s="30"/>
    </row>
    <row r="79" spans="1:32" ht="15.75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AB79" s="30"/>
      <c r="AC79" s="30"/>
      <c r="AD79" s="30"/>
      <c r="AE79" s="30"/>
      <c r="AF79" s="30"/>
    </row>
    <row r="80" spans="1:32" ht="15.75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AB80" s="30"/>
      <c r="AC80" s="30"/>
      <c r="AD80" s="30"/>
      <c r="AE80" s="30"/>
      <c r="AF80" s="30"/>
    </row>
    <row r="81" spans="1:32" ht="15.75" x14ac:dyDescent="0.2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AB81" s="30"/>
      <c r="AC81" s="30"/>
      <c r="AD81" s="30"/>
      <c r="AE81" s="30"/>
      <c r="AF81" s="30"/>
    </row>
    <row r="82" spans="1:32" ht="15.75" x14ac:dyDescent="0.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AB82" s="30"/>
      <c r="AC82" s="30"/>
      <c r="AD82" s="30"/>
      <c r="AE82" s="30"/>
      <c r="AF82" s="30"/>
    </row>
    <row r="83" spans="1:32" ht="15.75" x14ac:dyDescent="0.2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AB83" s="30"/>
      <c r="AC83" s="30"/>
      <c r="AD83" s="30"/>
      <c r="AE83" s="30"/>
      <c r="AF83" s="30"/>
    </row>
    <row r="84" spans="1:32" ht="15.75" x14ac:dyDescent="0.2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AB84" s="30"/>
      <c r="AC84" s="30"/>
      <c r="AD84" s="30"/>
      <c r="AE84" s="30"/>
      <c r="AF84" s="30"/>
    </row>
    <row r="85" spans="1:32" ht="15.75" x14ac:dyDescent="0.2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AB85" s="30"/>
      <c r="AC85" s="30"/>
      <c r="AD85" s="30"/>
      <c r="AE85" s="30"/>
      <c r="AF85" s="30"/>
    </row>
    <row r="86" spans="1:32" ht="15.75" x14ac:dyDescent="0.2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AB86" s="30"/>
      <c r="AC86" s="30"/>
      <c r="AD86" s="30"/>
      <c r="AE86" s="30"/>
      <c r="AF86" s="30"/>
    </row>
    <row r="87" spans="1:32" ht="15.75" x14ac:dyDescent="0.2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AB87" s="30"/>
      <c r="AC87" s="30"/>
      <c r="AD87" s="30"/>
      <c r="AE87" s="30"/>
      <c r="AF87" s="30"/>
    </row>
    <row r="88" spans="1:32" ht="15.75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AB88" s="30"/>
      <c r="AC88" s="30"/>
      <c r="AD88" s="30"/>
      <c r="AE88" s="30"/>
      <c r="AF88" s="30"/>
    </row>
    <row r="89" spans="1:32" ht="15.75" x14ac:dyDescent="0.2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AB89" s="30"/>
      <c r="AC89" s="30"/>
      <c r="AD89" s="30"/>
      <c r="AE89" s="30"/>
      <c r="AF89" s="30"/>
    </row>
    <row r="90" spans="1:32" ht="15.75" x14ac:dyDescent="0.2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AB90" s="30"/>
      <c r="AC90" s="30"/>
      <c r="AD90" s="30"/>
      <c r="AE90" s="30"/>
      <c r="AF90" s="30"/>
    </row>
    <row r="91" spans="1:32" ht="15.75" x14ac:dyDescent="0.2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AB91" s="30"/>
      <c r="AC91" s="30"/>
      <c r="AD91" s="30"/>
      <c r="AE91" s="30"/>
      <c r="AF91" s="30"/>
    </row>
    <row r="92" spans="1:32" ht="15.75" x14ac:dyDescent="0.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AB92" s="30"/>
      <c r="AC92" s="30"/>
      <c r="AD92" s="30"/>
      <c r="AE92" s="30"/>
      <c r="AF92" s="30"/>
    </row>
    <row r="93" spans="1:32" ht="15.75" x14ac:dyDescent="0.2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AB93" s="30"/>
      <c r="AC93" s="30"/>
      <c r="AD93" s="30"/>
      <c r="AE93" s="30"/>
      <c r="AF93" s="30"/>
    </row>
    <row r="94" spans="1:32" ht="15.75" x14ac:dyDescent="0.2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AB94" s="30"/>
      <c r="AC94" s="30"/>
      <c r="AD94" s="30"/>
      <c r="AE94" s="30"/>
      <c r="AF94" s="30"/>
    </row>
    <row r="95" spans="1:32" ht="15.75" x14ac:dyDescent="0.2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AB95" s="30"/>
      <c r="AC95" s="30"/>
      <c r="AD95" s="30"/>
      <c r="AE95" s="30"/>
      <c r="AF95" s="30"/>
    </row>
    <row r="96" spans="1:32" ht="15.75" x14ac:dyDescent="0.2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AB96" s="30"/>
      <c r="AC96" s="30"/>
      <c r="AD96" s="30"/>
      <c r="AE96" s="30"/>
      <c r="AF96" s="30"/>
    </row>
    <row r="97" spans="1:32" ht="15.75" x14ac:dyDescent="0.2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AB97" s="30"/>
      <c r="AC97" s="30"/>
      <c r="AD97" s="30"/>
      <c r="AE97" s="30"/>
      <c r="AF97" s="30"/>
    </row>
    <row r="98" spans="1:32" ht="15.75" x14ac:dyDescent="0.2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AB98" s="30"/>
      <c r="AC98" s="30"/>
      <c r="AD98" s="30"/>
      <c r="AE98" s="30"/>
      <c r="AF98" s="30"/>
    </row>
    <row r="99" spans="1:32" ht="15.75" x14ac:dyDescent="0.2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AB99" s="30"/>
      <c r="AC99" s="30"/>
      <c r="AD99" s="30"/>
      <c r="AE99" s="30"/>
      <c r="AF99" s="30"/>
    </row>
    <row r="100" spans="1:32" ht="15.75" x14ac:dyDescent="0.2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AB100" s="30"/>
      <c r="AC100" s="30"/>
      <c r="AD100" s="30"/>
      <c r="AE100" s="30"/>
      <c r="AF100" s="30"/>
    </row>
    <row r="101" spans="1:32" ht="15.75" x14ac:dyDescent="0.2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AB101" s="30"/>
      <c r="AC101" s="30"/>
      <c r="AD101" s="30"/>
      <c r="AE101" s="30"/>
      <c r="AF101" s="30"/>
    </row>
    <row r="102" spans="1:32" ht="15.75" x14ac:dyDescent="0.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AB102" s="30"/>
      <c r="AC102" s="30"/>
      <c r="AD102" s="30"/>
      <c r="AE102" s="30"/>
      <c r="AF102" s="30"/>
    </row>
    <row r="103" spans="1:32" ht="15.75" x14ac:dyDescent="0.2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AB103" s="30"/>
      <c r="AC103" s="30"/>
      <c r="AD103" s="30"/>
      <c r="AE103" s="30"/>
      <c r="AF103" s="30"/>
    </row>
    <row r="104" spans="1:32" ht="15.75" x14ac:dyDescent="0.2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AB104" s="30"/>
      <c r="AC104" s="30"/>
      <c r="AD104" s="30"/>
      <c r="AE104" s="30"/>
      <c r="AF104" s="30"/>
    </row>
    <row r="105" spans="1:32" ht="15.75" x14ac:dyDescent="0.2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AB105" s="30"/>
      <c r="AC105" s="30"/>
      <c r="AD105" s="30"/>
      <c r="AE105" s="30"/>
      <c r="AF105" s="30"/>
    </row>
    <row r="106" spans="1:32" ht="15.75" x14ac:dyDescent="0.2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AB106" s="30"/>
      <c r="AC106" s="30"/>
      <c r="AD106" s="30"/>
      <c r="AE106" s="30"/>
      <c r="AF106" s="30"/>
    </row>
    <row r="107" spans="1:32" ht="15.75" x14ac:dyDescent="0.2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AB107" s="30"/>
      <c r="AC107" s="30"/>
      <c r="AD107" s="30"/>
      <c r="AE107" s="30"/>
      <c r="AF107" s="30"/>
    </row>
    <row r="108" spans="1:32" ht="15.75" x14ac:dyDescent="0.2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AB108" s="30"/>
      <c r="AC108" s="30"/>
      <c r="AD108" s="30"/>
      <c r="AE108" s="30"/>
      <c r="AF108" s="30"/>
    </row>
    <row r="109" spans="1:32" ht="15.75" x14ac:dyDescent="0.2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AB109" s="30"/>
      <c r="AC109" s="30"/>
      <c r="AD109" s="30"/>
      <c r="AE109" s="30"/>
      <c r="AF109" s="30"/>
    </row>
    <row r="110" spans="1:32" ht="15.75" x14ac:dyDescent="0.2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AB110" s="30"/>
      <c r="AC110" s="30"/>
      <c r="AD110" s="30"/>
      <c r="AE110" s="30"/>
      <c r="AF110" s="30"/>
    </row>
    <row r="111" spans="1:32" ht="15.75" x14ac:dyDescent="0.2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AB111" s="30"/>
      <c r="AC111" s="30"/>
      <c r="AD111" s="30"/>
      <c r="AE111" s="30"/>
      <c r="AF111" s="30"/>
    </row>
  </sheetData>
  <mergeCells count="1">
    <mergeCell ref="H2:K2"/>
  </mergeCells>
  <pageMargins left="0.7" right="0.7" top="0.75" bottom="0.75" header="0.3" footer="0.3"/>
  <pageSetup paperSize="9" orientation="portrait" useFirstPageNumber="1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עסקאות נדל"ן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2021-12-23T21:13:07Z</dcterms:created>
  <dcterms:modified xsi:type="dcterms:W3CDTF">2026-07-09T13:56:12Z</dcterms:modified>
</cp:coreProperties>
</file>